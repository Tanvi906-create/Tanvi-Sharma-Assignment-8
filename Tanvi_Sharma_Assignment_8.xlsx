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1d1e4f464a0c55/Documents/"/>
    </mc:Choice>
  </mc:AlternateContent>
  <xr:revisionPtr revIDLastSave="0" documentId="8_{8E902C57-C1FF-48F3-B713-CF6A8D5A71F7}" xr6:coauthVersionLast="47" xr6:coauthVersionMax="47" xr10:uidLastSave="{00000000-0000-0000-0000-000000000000}"/>
  <bookViews>
    <workbookView xWindow="-110" yWindow="-110" windowWidth="19420" windowHeight="11500" xr2:uid="{677F2113-6FB2-4333-94A9-B20EB94AE216}"/>
  </bookViews>
  <sheets>
    <sheet name="Sheet1" sheetId="1" r:id="rId1"/>
  </sheets>
  <definedNames>
    <definedName name="_xlchart.v1.0" hidden="1">Sheet1!$A$27:$A$125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0" i="1" l="1"/>
  <c r="E149" i="1"/>
  <c r="C147" i="1"/>
  <c r="C145" i="1"/>
  <c r="C144" i="1"/>
  <c r="C14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27" i="1"/>
  <c r="C15" i="1"/>
</calcChain>
</file>

<file path=xl/sharedStrings.xml><?xml version="1.0" encoding="utf-8"?>
<sst xmlns="http://schemas.openxmlformats.org/spreadsheetml/2006/main" count="160" uniqueCount="149">
  <si>
    <t>Que 1</t>
  </si>
  <si>
    <t>Simulate 30 rolls with =RANDBETWEEN(1,6). What is the probability of rolling a 3 exactly 5 times? (Hint: Use BINOM.DIST)</t>
  </si>
  <si>
    <t>Ans :</t>
  </si>
  <si>
    <t>Theoretical Probability Calculation</t>
  </si>
  <si>
    <r>
      <t xml:space="preserve">To calculate the exact probability of rolling a 3 exactly 5 times, we use the binomial distribution formula or the Excel function </t>
    </r>
    <r>
      <rPr>
        <sz val="10"/>
        <color theme="1"/>
        <rFont val="Arial Unicode MS"/>
      </rPr>
      <t>BINOM.DIST(number_s, trials, probability_s, cumulative)</t>
    </r>
  </si>
  <si>
    <t>Parameters:</t>
  </si>
  <si>
    <t>(Number of trials)</t>
  </si>
  <si>
    <t>(Number of successes)</t>
  </si>
  <si>
    <t>(Probability of success on a single roll)</t>
  </si>
  <si>
    <t>Formula:</t>
  </si>
  <si>
    <t xml:space="preserve">probibility is </t>
  </si>
  <si>
    <r>
      <t>Result:</t>
    </r>
    <r>
      <rPr>
        <sz val="11"/>
        <color theme="1"/>
        <rFont val="Calibri"/>
        <family val="2"/>
        <scheme val="minor"/>
      </rPr>
      <t xml:space="preserve"> The probability of rolling a 3 exactly 5 times in 30 rolls is approximately</t>
    </r>
  </si>
  <si>
    <t>Que 2</t>
  </si>
  <si>
    <t>Generate 100 values in Excel using the continuous uniform distribution RAND() and plot a histogram. Describe the shape of the distribution.</t>
  </si>
  <si>
    <t>Shape of the distribution:</t>
  </si>
  <si>
    <r>
      <t xml:space="preserve">The histogram is </t>
    </r>
    <r>
      <rPr>
        <b/>
        <sz val="11"/>
        <color theme="1"/>
        <rFont val="Calibri"/>
        <family val="2"/>
        <scheme val="minor"/>
      </rPr>
      <t>approximately flat (rectangular)</t>
    </r>
  </si>
  <si>
    <r>
      <t xml:space="preserve">Bars are </t>
    </r>
    <r>
      <rPr>
        <b/>
        <sz val="11"/>
        <color theme="1"/>
        <rFont val="Calibri"/>
        <family val="2"/>
        <scheme val="minor"/>
      </rPr>
      <t>roughly the same height</t>
    </r>
    <r>
      <rPr>
        <sz val="11"/>
        <color theme="1"/>
        <rFont val="Calibri"/>
        <family val="2"/>
        <scheme val="minor"/>
      </rPr>
      <t xml:space="preserve"> across the range 0 to 1</t>
    </r>
  </si>
  <si>
    <t>No skew, no peak, no bell shape</t>
  </si>
  <si>
    <t>Interpretation</t>
  </si>
  <si>
    <t>This happens because:</t>
  </si>
  <si>
    <r>
      <t xml:space="preserve">Every value between 0 and 1 has </t>
    </r>
    <r>
      <rPr>
        <b/>
        <sz val="11"/>
        <color theme="1"/>
        <rFont val="Calibri"/>
        <family val="2"/>
        <scheme val="minor"/>
      </rPr>
      <t>about the same probability</t>
    </r>
    <r>
      <rPr>
        <sz val="11"/>
        <color theme="1"/>
        <rFont val="Calibri"/>
        <family val="2"/>
        <scheme val="minor"/>
      </rPr>
      <t xml:space="preserve"> of occurring</t>
    </r>
  </si>
  <si>
    <r>
      <t xml:space="preserve">Small ups and downs are normal due to </t>
    </r>
    <r>
      <rPr>
        <b/>
        <sz val="11"/>
        <color theme="1"/>
        <rFont val="Calibri"/>
        <family val="2"/>
        <scheme val="minor"/>
      </rPr>
      <t>random variation</t>
    </r>
    <r>
      <rPr>
        <sz val="11"/>
        <color theme="1"/>
        <rFont val="Calibri"/>
        <family val="2"/>
        <scheme val="minor"/>
      </rPr>
      <t xml:space="preserve"> with only 100 values</t>
    </r>
  </si>
  <si>
    <t>Que 3</t>
  </si>
  <si>
    <t>A dataset has a mean of 50 and a standard deviation of 5. What percentage of values lie between 45 and 55 if the data follows a normal distribution?</t>
  </si>
  <si>
    <t>Given:</t>
  </si>
  <si>
    <t xml:space="preserve">mean </t>
  </si>
  <si>
    <t>Standard deviation</t>
  </si>
  <si>
    <t>Interval:</t>
  </si>
  <si>
    <t>45 to 55</t>
  </si>
  <si>
    <t>50-5</t>
  </si>
  <si>
    <t>1 standard deviation below the mean</t>
  </si>
  <si>
    <t>50+5</t>
  </si>
  <si>
    <t>1 standard deviation above the mean</t>
  </si>
  <si>
    <t>Precise Calculation using Z-scores</t>
  </si>
  <si>
    <t xml:space="preserve">Z= </t>
  </si>
  <si>
    <t xml:space="preserve">formula </t>
  </si>
  <si>
    <t xml:space="preserve">Formula </t>
  </si>
  <si>
    <t>probibility is equal to   =</t>
  </si>
  <si>
    <t>result approxmatly 68% of the values lie between 45 and 55.</t>
  </si>
  <si>
    <t>Que 4</t>
  </si>
  <si>
    <t>What is the concept of standardization (z-score), and why is it important in data analysis? Explain the formula and how standardization transforms a dataset.</t>
  </si>
  <si>
    <r>
      <t xml:space="preserve">Standardization is the process of converting data values into </t>
    </r>
    <r>
      <rPr>
        <b/>
        <sz val="12"/>
        <color theme="1"/>
        <rFont val="Calibri"/>
        <family val="2"/>
        <scheme val="minor"/>
      </rPr>
      <t>z-scores</t>
    </r>
    <r>
      <rPr>
        <sz val="12"/>
        <color theme="1"/>
        <rFont val="Calibri"/>
        <family val="2"/>
        <scheme val="minor"/>
      </rPr>
      <t xml:space="preserve">, which tell us </t>
    </r>
    <r>
      <rPr>
        <b/>
        <sz val="12"/>
        <color theme="1"/>
        <rFont val="Calibri"/>
        <family val="2"/>
        <scheme val="minor"/>
      </rPr>
      <t>how far a value is from the mean</t>
    </r>
    <r>
      <rPr>
        <sz val="12"/>
        <color theme="1"/>
        <rFont val="Calibri"/>
        <family val="2"/>
        <scheme val="minor"/>
      </rPr>
      <t xml:space="preserve">, measured in </t>
    </r>
    <r>
      <rPr>
        <b/>
        <sz val="12"/>
        <color theme="1"/>
        <rFont val="Calibri"/>
        <family val="2"/>
        <scheme val="minor"/>
      </rPr>
      <t>standard deviations</t>
    </r>
    <r>
      <rPr>
        <sz val="12"/>
        <color theme="1"/>
        <rFont val="Calibri"/>
        <family val="2"/>
        <scheme val="minor"/>
      </rPr>
      <t>.</t>
    </r>
  </si>
  <si>
    <t>Z-score Formula</t>
  </si>
  <si>
    <t>original data value</t>
  </si>
  <si>
    <t>x</t>
  </si>
  <si>
    <t>mean of the dataset</t>
  </si>
  <si>
    <t>μ</t>
  </si>
  <si>
    <t>standard deviation</t>
  </si>
  <si>
    <t>σ</t>
  </si>
  <si>
    <t>z-score (standardized value)</t>
  </si>
  <si>
    <t>z</t>
  </si>
  <si>
    <t>z=</t>
  </si>
  <si>
    <t>original data value- mean of dataset/standard deviation</t>
  </si>
  <si>
    <t>Why is standardization important?</t>
  </si>
  <si>
    <t>1. Comparison across datasets</t>
  </si>
  <si>
    <t>Allows comparison of values from different scales (e.g., test scores vs heights).</t>
  </si>
  <si>
    <t>2. Identifying outliers</t>
  </si>
  <si>
    <t>Very high or low z-scores indicate unusual values.</t>
  </si>
  <si>
    <t>3. Normal distribution analysis</t>
  </si>
  <si>
    <t>Helps use standard normal tables and probability calculations.</t>
  </si>
  <si>
    <t>4. Machine learning &amp; statistics</t>
  </si>
  <si>
    <t>Many models work better when data is standardized.</t>
  </si>
  <si>
    <t>How standardization transforms a dataset</t>
  </si>
  <si>
    <t>After standardization:</t>
  </si>
  <si>
    <r>
      <t xml:space="preserve">The </t>
    </r>
    <r>
      <rPr>
        <b/>
        <sz val="11"/>
        <color theme="1"/>
        <rFont val="Calibri"/>
        <family val="2"/>
        <scheme val="minor"/>
      </rPr>
      <t>mean becomes 0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</si>
  <si>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 becomes 1</t>
    </r>
  </si>
  <si>
    <t>Original units are removed</t>
  </si>
  <si>
    <t>Que 5</t>
  </si>
  <si>
    <t>What is Kurtosis and their type? </t>
  </si>
  <si>
    <r>
      <t>Kurtosis</t>
    </r>
    <r>
      <rPr>
        <sz val="11"/>
        <color theme="1"/>
        <rFont val="Calibri"/>
        <family val="2"/>
        <scheme val="minor"/>
      </rPr>
      <t xml:space="preserve"> is a statistical measure that describes the </t>
    </r>
    <r>
      <rPr>
        <b/>
        <sz val="11"/>
        <color theme="1"/>
        <rFont val="Calibri"/>
        <family val="2"/>
        <scheme val="minor"/>
      </rPr>
      <t>shape of a distribution</t>
    </r>
    <r>
      <rPr>
        <sz val="11"/>
        <color theme="1"/>
        <rFont val="Calibri"/>
        <family val="2"/>
        <scheme val="minor"/>
      </rPr>
      <t xml:space="preserve">, specifically how </t>
    </r>
    <r>
      <rPr>
        <b/>
        <sz val="11"/>
        <color theme="1"/>
        <rFont val="Calibri"/>
        <family val="2"/>
        <scheme val="minor"/>
      </rPr>
      <t>peaked or flat</t>
    </r>
    <r>
      <rPr>
        <sz val="11"/>
        <color theme="1"/>
        <rFont val="Calibri"/>
        <family val="2"/>
        <scheme val="minor"/>
      </rPr>
      <t xml:space="preserve"> it is and how </t>
    </r>
    <r>
      <rPr>
        <b/>
        <sz val="11"/>
        <color theme="1"/>
        <rFont val="Calibri"/>
        <family val="2"/>
        <scheme val="minor"/>
      </rPr>
      <t>heavy the tails</t>
    </r>
    <r>
      <rPr>
        <sz val="11"/>
        <color theme="1"/>
        <rFont val="Calibri"/>
        <family val="2"/>
        <scheme val="minor"/>
      </rPr>
      <t xml:space="preserve"> are compared to a normal distribution.</t>
    </r>
  </si>
  <si>
    <t>Types of Kurtosis</t>
  </si>
  <si>
    <t>1. Mesokurtic</t>
  </si>
  <si>
    <t>Kurtosis similar to a normal distribution</t>
  </si>
  <si>
    <t>Moderate peak and tails</t>
  </si>
  <si>
    <r>
      <t xml:space="preserve">Kurtosis value ≈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(or </t>
    </r>
    <r>
      <rPr>
        <b/>
        <sz val="11"/>
        <color theme="1"/>
        <rFont val="Calibri"/>
        <family val="2"/>
        <scheme val="minor"/>
      </rPr>
      <t>excess kurtosis = 0</t>
    </r>
    <r>
      <rPr>
        <sz val="11"/>
        <color theme="1"/>
        <rFont val="Calibri"/>
        <family val="2"/>
        <scheme val="minor"/>
      </rPr>
      <t>)</t>
    </r>
  </si>
  <si>
    <t>Example: Normal distribution</t>
  </si>
  <si>
    <t>2. Leptokurtic</t>
  </si>
  <si>
    <r>
      <t>Highly peaked</t>
    </r>
    <r>
      <rPr>
        <sz val="11"/>
        <color theme="1"/>
        <rFont val="Calibri"/>
        <family val="2"/>
        <scheme val="minor"/>
      </rPr>
      <t xml:space="preserve"> distribution</t>
    </r>
  </si>
  <si>
    <r>
      <t>Heavy tails</t>
    </r>
    <r>
      <rPr>
        <sz val="11"/>
        <color theme="1"/>
        <rFont val="Calibri"/>
        <family val="2"/>
        <scheme val="minor"/>
      </rPr>
      <t xml:space="preserve"> (more extreme values)</t>
    </r>
  </si>
  <si>
    <t>More outliers than normal</t>
  </si>
  <si>
    <r>
      <t xml:space="preserve">Kurtosis value </t>
    </r>
    <r>
      <rPr>
        <b/>
        <sz val="11"/>
        <color theme="1"/>
        <rFont val="Calibri"/>
        <family val="2"/>
        <scheme val="minor"/>
      </rPr>
      <t>&gt; 3</t>
    </r>
  </si>
  <si>
    <t>Example: Financial return data</t>
  </si>
  <si>
    <t>3. Platykurtic</t>
  </si>
  <si>
    <r>
      <t>Flat-topped</t>
    </r>
    <r>
      <rPr>
        <sz val="11"/>
        <color theme="1"/>
        <rFont val="Calibri"/>
        <family val="2"/>
        <scheme val="minor"/>
      </rPr>
      <t xml:space="preserve"> distribution</t>
    </r>
  </si>
  <si>
    <r>
      <t>Light tails</t>
    </r>
    <r>
      <rPr>
        <sz val="11"/>
        <color theme="1"/>
        <rFont val="Calibri"/>
        <family val="2"/>
        <scheme val="minor"/>
      </rPr>
      <t xml:space="preserve"> (fewer extreme values)</t>
    </r>
  </si>
  <si>
    <t>Fewer outliers than normal</t>
  </si>
  <si>
    <r>
      <t xml:space="preserve">Kurtosis value </t>
    </r>
    <r>
      <rPr>
        <b/>
        <sz val="11"/>
        <color theme="1"/>
        <rFont val="Calibri"/>
        <family val="2"/>
        <scheme val="minor"/>
      </rPr>
      <t>&lt; 3</t>
    </r>
  </si>
  <si>
    <t>Example: Uniform distribution</t>
  </si>
  <si>
    <t>Que 6</t>
  </si>
  <si>
    <t>Explain why the uniform distribution is a good model for the outcome of rolling a fair die</t>
  </si>
  <si>
    <r>
      <t xml:space="preserve">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is a good model for rolling 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 xml:space="preserve"> because </t>
    </r>
    <r>
      <rPr>
        <b/>
        <sz val="11"/>
        <color theme="1"/>
        <rFont val="Calibri"/>
        <family val="2"/>
        <scheme val="minor"/>
      </rPr>
      <t>all outcomes are equally likely</t>
    </r>
    <r>
      <rPr>
        <sz val="11"/>
        <color theme="1"/>
        <rFont val="Calibri"/>
        <family val="2"/>
        <scheme val="minor"/>
      </rPr>
      <t>.</t>
    </r>
  </si>
  <si>
    <t>Explanation:</t>
  </si>
  <si>
    <r>
      <t xml:space="preserve">A fair die has </t>
    </r>
    <r>
      <rPr>
        <b/>
        <sz val="11"/>
        <color theme="1"/>
        <rFont val="Calibri"/>
        <family val="2"/>
        <scheme val="minor"/>
      </rPr>
      <t>six possible outcomes</t>
    </r>
    <r>
      <rPr>
        <sz val="11"/>
        <color theme="1"/>
        <rFont val="Calibri"/>
        <family val="2"/>
        <scheme val="minor"/>
      </rPr>
      <t>: 1, 2, 3, 4, 5, and 6</t>
    </r>
  </si>
  <si>
    <r>
      <t xml:space="preserve">Each face has the </t>
    </r>
    <r>
      <rPr>
        <b/>
        <sz val="11"/>
        <color theme="1"/>
        <rFont val="Calibri"/>
        <family val="2"/>
        <scheme val="minor"/>
      </rPr>
      <t>same chance</t>
    </r>
    <r>
      <rPr>
        <sz val="11"/>
        <color theme="1"/>
        <rFont val="Calibri"/>
        <family val="2"/>
        <scheme val="minor"/>
      </rPr>
      <t xml:space="preserve"> of occurring</t>
    </r>
  </si>
  <si>
    <t>The probability of each outcome is:</t>
  </si>
  <si>
    <t>probibility (B) = 1/6</t>
  </si>
  <si>
    <t>probibility (2) = 1/6</t>
  </si>
  <si>
    <t>probibility (6) =1/6</t>
  </si>
  <si>
    <t>Why uniform distribution fits:</t>
  </si>
  <si>
    <t>1. Equal probability</t>
  </si>
  <si>
    <t>Uniform distribution assumes every value has the same probability, which matches a fair die.</t>
  </si>
  <si>
    <t>2. No bias or preference</t>
  </si>
  <si>
    <t>A fair die is designed so no number is favored over another.</t>
  </si>
  <si>
    <t>3. Flat probability pattern</t>
  </si>
  <si>
    <t>If we plot the probabilities, all bars have the same height—just like a uniform distribution.</t>
  </si>
  <si>
    <t>Conclusion:</t>
  </si>
  <si>
    <r>
      <t xml:space="preserve">Because each number from 1 to 6 occurs with equal likelihood, the outcomes of rolling a fair die follow a </t>
    </r>
    <r>
      <rPr>
        <b/>
        <sz val="11"/>
        <color theme="1"/>
        <rFont val="Calibri"/>
        <family val="2"/>
        <scheme val="minor"/>
      </rPr>
      <t>discrete uniform distribution</t>
    </r>
    <r>
      <rPr>
        <sz val="11"/>
        <color theme="1"/>
        <rFont val="Calibri"/>
        <family val="2"/>
        <scheme val="minor"/>
      </rPr>
      <t>, making it an appropriate and accurate model.</t>
    </r>
  </si>
  <si>
    <t>Que 7</t>
  </si>
  <si>
    <t>Use Excel to compute the probability of getting at least 8 successes in 15 trials with success probability 0.5</t>
  </si>
  <si>
    <r>
      <t xml:space="preserve">We use the </t>
    </r>
    <r>
      <rPr>
        <b/>
        <sz val="11"/>
        <color theme="1"/>
        <rFont val="Calibri"/>
        <family val="2"/>
        <scheme val="minor"/>
      </rPr>
      <t>binomial distribution</t>
    </r>
    <r>
      <rPr>
        <sz val="11"/>
        <color theme="1"/>
        <rFont val="Calibri"/>
        <family val="2"/>
        <scheme val="minor"/>
      </rPr>
      <t xml:space="preserve"> in Excel.</t>
    </r>
  </si>
  <si>
    <t>number of trials (n)=15</t>
  </si>
  <si>
    <t>success probibility p = 0.5</t>
  </si>
  <si>
    <r>
      <t xml:space="preserve">We want </t>
    </r>
    <r>
      <rPr>
        <b/>
        <sz val="11"/>
        <color theme="1"/>
        <rFont val="Calibri"/>
        <family val="2"/>
        <scheme val="minor"/>
      </rPr>
      <t>at least 8 successes</t>
    </r>
  </si>
  <si>
    <t>P(X≥8)</t>
  </si>
  <si>
    <t>Excel Formula</t>
  </si>
  <si>
    <r>
      <t xml:space="preserve">“At least 8” means </t>
    </r>
    <r>
      <rPr>
        <b/>
        <sz val="11"/>
        <color theme="1"/>
        <rFont val="Calibri"/>
        <family val="2"/>
        <scheme val="minor"/>
      </rPr>
      <t>1 − P(X ≤ 7)</t>
    </r>
  </si>
  <si>
    <r>
      <t xml:space="preserve">Because the probability of success is 0.5 and the number of trials is odd (15), the distribution is </t>
    </r>
    <r>
      <rPr>
        <b/>
        <sz val="11"/>
        <color theme="1"/>
        <rFont val="Calibri"/>
        <family val="2"/>
        <scheme val="minor"/>
      </rPr>
      <t>symmetric</t>
    </r>
    <r>
      <rPr>
        <sz val="11"/>
        <color theme="1"/>
        <rFont val="Calibri"/>
        <family val="2"/>
        <scheme val="minor"/>
      </rPr>
      <t xml:space="preserve">, so the probability of getting </t>
    </r>
    <r>
      <rPr>
        <b/>
        <sz val="11"/>
        <color theme="1"/>
        <rFont val="Calibri"/>
        <family val="2"/>
        <scheme val="minor"/>
      </rPr>
      <t>at least half the successes</t>
    </r>
    <r>
      <rPr>
        <sz val="11"/>
        <color theme="1"/>
        <rFont val="Calibri"/>
        <family val="2"/>
        <scheme val="minor"/>
      </rPr>
      <t xml:space="preserve"> is exactly </t>
    </r>
    <r>
      <rPr>
        <b/>
        <sz val="11"/>
        <color theme="1"/>
        <rFont val="Calibri"/>
        <family val="2"/>
        <scheme val="minor"/>
      </rPr>
      <t>50%</t>
    </r>
    <r>
      <rPr>
        <sz val="11"/>
        <color theme="1"/>
        <rFont val="Calibri"/>
        <family val="2"/>
        <scheme val="minor"/>
      </rPr>
      <t>.</t>
    </r>
  </si>
  <si>
    <t>Que 8</t>
  </si>
  <si>
    <t>How does log transformation help in stabilizing variance and making data more normally distributed?</t>
  </si>
  <si>
    <r>
      <t xml:space="preserve">A </t>
    </r>
    <r>
      <rPr>
        <b/>
        <sz val="11"/>
        <color theme="1"/>
        <rFont val="Calibri"/>
        <family val="2"/>
        <scheme val="minor"/>
      </rPr>
      <t>log transformation</t>
    </r>
    <r>
      <rPr>
        <sz val="11"/>
        <color theme="1"/>
        <rFont val="Calibri"/>
        <family val="2"/>
        <scheme val="minor"/>
      </rPr>
      <t xml:space="preserve"> means replacing each data value xxx with log⁡(x)\log(x)log(x) (often log base 10 or natural log).</t>
    </r>
  </si>
  <si>
    <t>1. Stabilizing Variance</t>
  </si>
  <si>
    <t>In many real datasets:</t>
  </si>
  <si>
    <r>
      <t xml:space="preserve">Variability </t>
    </r>
    <r>
      <rPr>
        <b/>
        <sz val="11"/>
        <color theme="1"/>
        <rFont val="Calibri"/>
        <family val="2"/>
        <scheme val="minor"/>
      </rPr>
      <t>increases as values get larger</t>
    </r>
  </si>
  <si>
    <r>
      <t xml:space="preserve">Data is </t>
    </r>
    <r>
      <rPr>
        <b/>
        <sz val="11"/>
        <color theme="1"/>
        <rFont val="Calibri"/>
        <family val="2"/>
        <scheme val="minor"/>
      </rPr>
      <t>heteroscedastic</t>
    </r>
    <r>
      <rPr>
        <sz val="11"/>
        <color theme="1"/>
        <rFont val="Calibri"/>
        <family val="2"/>
        <scheme val="minor"/>
      </rPr>
      <t xml:space="preserve"> (unequal spread)</t>
    </r>
  </si>
  <si>
    <t>How log helps:</t>
  </si>
  <si>
    <r>
      <t xml:space="preserve">Log transformation </t>
    </r>
    <r>
      <rPr>
        <b/>
        <sz val="11"/>
        <color theme="1"/>
        <rFont val="Calibri"/>
        <family val="2"/>
        <scheme val="minor"/>
      </rPr>
      <t>compresses large values more than small ones</t>
    </r>
  </si>
  <si>
    <t>This reduces the spread for large numbers</t>
  </si>
  <si>
    <r>
      <t xml:space="preserve">Result: </t>
    </r>
    <r>
      <rPr>
        <b/>
        <sz val="11"/>
        <color theme="1"/>
        <rFont val="Calibri"/>
        <family val="2"/>
        <scheme val="minor"/>
      </rPr>
      <t>more constant variance</t>
    </r>
    <r>
      <rPr>
        <sz val="11"/>
        <color theme="1"/>
        <rFont val="Calibri"/>
        <family val="2"/>
        <scheme val="minor"/>
      </rPr>
      <t xml:space="preserve"> across the dataset</t>
    </r>
  </si>
  <si>
    <t>📌 Example: Income, sales, population data</t>
  </si>
  <si>
    <t>2. Making Data More Normally Distributed</t>
  </si>
  <si>
    <t>Many datasets are:</t>
  </si>
  <si>
    <r>
      <t>Right-skewed</t>
    </r>
    <r>
      <rPr>
        <sz val="11"/>
        <color theme="1"/>
        <rFont val="Calibri"/>
        <family val="2"/>
        <scheme val="minor"/>
      </rPr>
      <t xml:space="preserve"> (long tail to the right)</t>
    </r>
  </si>
  <si>
    <t>Have extreme large values</t>
  </si>
  <si>
    <t>Pulls in the long right tail</t>
  </si>
  <si>
    <t>Reduces the effect of outliers</t>
  </si>
  <si>
    <r>
      <t xml:space="preserve">Makes the distribution </t>
    </r>
    <r>
      <rPr>
        <b/>
        <sz val="11"/>
        <color theme="1"/>
        <rFont val="Calibri"/>
        <family val="2"/>
        <scheme val="minor"/>
      </rPr>
      <t>more symmetric</t>
    </r>
  </si>
  <si>
    <r>
      <t xml:space="preserve">Often closer to a </t>
    </r>
    <r>
      <rPr>
        <b/>
        <sz val="11"/>
        <color theme="1"/>
        <rFont val="Calibri"/>
        <family val="2"/>
        <scheme val="minor"/>
      </rPr>
      <t>normal (bell-shaped) distribution</t>
    </r>
  </si>
  <si>
    <t>3. Improves Statistical Analysis</t>
  </si>
  <si>
    <t>Log-transformed data:</t>
  </si>
  <si>
    <r>
      <t xml:space="preserve">Better satisfies assumptions of </t>
    </r>
    <r>
      <rPr>
        <b/>
        <sz val="11"/>
        <color theme="1"/>
        <rFont val="Calibri"/>
        <family val="2"/>
        <scheme val="minor"/>
      </rPr>
      <t>normality</t>
    </r>
  </si>
  <si>
    <r>
      <t xml:space="preserve">Makes </t>
    </r>
    <r>
      <rPr>
        <b/>
        <sz val="11"/>
        <color theme="1"/>
        <rFont val="Calibri"/>
        <family val="2"/>
        <scheme val="minor"/>
      </rPr>
      <t>regression models</t>
    </r>
    <r>
      <rPr>
        <sz val="11"/>
        <color theme="1"/>
        <rFont val="Calibri"/>
        <family val="2"/>
        <scheme val="minor"/>
      </rPr>
      <t xml:space="preserve"> more reliable</t>
    </r>
  </si>
  <si>
    <r>
      <t xml:space="preserve">Helps interpret </t>
    </r>
    <r>
      <rPr>
        <b/>
        <sz val="11"/>
        <color theme="1"/>
        <rFont val="Calibri"/>
        <family val="2"/>
        <scheme val="minor"/>
      </rPr>
      <t>relative (percentage) changes</t>
    </r>
  </si>
  <si>
    <t>Key Points to Remember</t>
  </si>
  <si>
    <t>Log transformation reduces skewness</t>
  </si>
  <si>
    <t>Stabilizes variance</t>
  </si>
  <si>
    <t>Handles outliers effectively</t>
  </si>
  <si>
    <t>Makes data suitable for parametric tests</t>
  </si>
  <si>
    <r>
      <t xml:space="preserve">📌 </t>
    </r>
    <r>
      <rPr>
        <b/>
        <sz val="11"/>
        <color theme="1"/>
        <rFont val="Calibri"/>
        <family val="2"/>
        <scheme val="minor"/>
      </rPr>
      <t>One-line summary:</t>
    </r>
  </si>
  <si>
    <t>Log transformation compresses large values, reducing skewness and variance, which helps data behave more like a normal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</si>
</sst>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16" fontId="0" fillId="0" borderId="0" xfId="0" applyNumberFormat="1"/>
    <xf numFmtId="10" fontId="0" fillId="0" borderId="0" xfId="2" applyNumberFormat="1" applyFont="1"/>
    <xf numFmtId="12" fontId="0" fillId="0" borderId="0" xfId="1" applyNumberFormat="1" applyFont="1"/>
    <xf numFmtId="0" fontId="6" fillId="0" borderId="0" xfId="0" applyFont="1"/>
    <xf numFmtId="0" fontId="0" fillId="0" borderId="0" xfId="2" applyNumberFormat="1" applyFont="1"/>
    <xf numFmtId="0" fontId="7" fillId="0" borderId="0" xfId="0" applyFont="1"/>
    <xf numFmtId="0" fontId="9" fillId="0" borderId="0" xfId="0" applyFont="1"/>
    <xf numFmtId="0" fontId="9" fillId="2" borderId="0" xfId="0" applyFont="1" applyFill="1"/>
    <xf numFmtId="0" fontId="0" fillId="2" borderId="0" xfId="0" applyFill="1"/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0" xfId="0" applyFont="1" applyFill="1"/>
    <xf numFmtId="0" fontId="8" fillId="3" borderId="0" xfId="0" applyFont="1" applyFill="1"/>
    <xf numFmtId="0" fontId="0" fillId="3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CE1CD489-1943-420D-BC49-3F68294C2C17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ln>
                      <a:noFill/>
                    </a:ln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ln>
                    <a:noFill/>
                  </a:ln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ln>
                <a:noFill/>
              </a:ln>
            </a:endParaRPr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ln>
                <a:noFill/>
              </a:ln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26</xdr:row>
      <xdr:rowOff>28576</xdr:rowOff>
    </xdr:from>
    <xdr:to>
      <xdr:col>9</xdr:col>
      <xdr:colOff>238125</xdr:colOff>
      <xdr:row>40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48CE96F-DD81-1EE7-3FD2-C6F1889889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1D3F-5D60-4ED2-8B12-DE4A51AE022A}">
  <dimension ref="A2:Q351"/>
  <sheetViews>
    <sheetView tabSelected="1" topLeftCell="A330" workbookViewId="0">
      <selection activeCell="M34" sqref="M34"/>
    </sheetView>
  </sheetViews>
  <sheetFormatPr defaultRowHeight="14.45"/>
  <cols>
    <col min="3" max="3" width="10.7109375" customWidth="1"/>
  </cols>
  <sheetData>
    <row r="2" spans="1:14" ht="15.6">
      <c r="A2" s="19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4" spans="1:14" ht="17.45">
      <c r="A4" s="1" t="s">
        <v>2</v>
      </c>
      <c r="B4" s="2" t="s">
        <v>3</v>
      </c>
    </row>
    <row r="6" spans="1:14">
      <c r="B6" t="s">
        <v>4</v>
      </c>
    </row>
    <row r="8" spans="1:14">
      <c r="B8" s="3" t="s">
        <v>5</v>
      </c>
    </row>
    <row r="9" spans="1:14">
      <c r="B9" s="4"/>
    </row>
    <row r="10" spans="1:14">
      <c r="B10" t="s">
        <v>6</v>
      </c>
      <c r="D10">
        <v>30</v>
      </c>
    </row>
    <row r="11" spans="1:14">
      <c r="B11" t="s">
        <v>7</v>
      </c>
      <c r="E11">
        <v>5</v>
      </c>
    </row>
    <row r="12" spans="1:14">
      <c r="B12" s="5"/>
    </row>
    <row r="13" spans="1:14">
      <c r="B13" t="s">
        <v>8</v>
      </c>
      <c r="F13" s="9">
        <v>0.16666666666666666</v>
      </c>
    </row>
    <row r="14" spans="1:14">
      <c r="B14" s="6"/>
      <c r="E14" s="7"/>
    </row>
    <row r="15" spans="1:14">
      <c r="B15" t="s">
        <v>9</v>
      </c>
      <c r="C15">
        <f>_xlfn.BINOM.DIST(E11,D10,F13,FALSE)</f>
        <v>0.19210813105163416</v>
      </c>
    </row>
    <row r="16" spans="1:14">
      <c r="B16" s="3"/>
    </row>
    <row r="17" spans="1:16">
      <c r="B17" s="10" t="s">
        <v>10</v>
      </c>
      <c r="D17" s="11">
        <v>0.19210812999999999</v>
      </c>
    </row>
    <row r="19" spans="1:16">
      <c r="B19" s="1" t="s">
        <v>11</v>
      </c>
    </row>
    <row r="20" spans="1:16">
      <c r="H20" s="8">
        <v>0.19209999999999999</v>
      </c>
    </row>
    <row r="23" spans="1:16" ht="15.6">
      <c r="A23" s="20" t="s">
        <v>12</v>
      </c>
      <c r="B23" s="20" t="s">
        <v>13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</row>
    <row r="25" spans="1:16">
      <c r="A25" s="1" t="s">
        <v>2</v>
      </c>
    </row>
    <row r="27" spans="1:16">
      <c r="A27">
        <f ca="1">RAND()</f>
        <v>0.98064269163337192</v>
      </c>
    </row>
    <row r="28" spans="1:16">
      <c r="A28">
        <f t="shared" ref="A28:A91" ca="1" si="0">RAND()</f>
        <v>0.56489799388353612</v>
      </c>
    </row>
    <row r="29" spans="1:16">
      <c r="A29">
        <f t="shared" ca="1" si="0"/>
        <v>0.28510399162839239</v>
      </c>
    </row>
    <row r="30" spans="1:16">
      <c r="A30">
        <f t="shared" ca="1" si="0"/>
        <v>0.98398197588572023</v>
      </c>
    </row>
    <row r="31" spans="1:16">
      <c r="A31">
        <f t="shared" ca="1" si="0"/>
        <v>0.24951252784142508</v>
      </c>
    </row>
    <row r="32" spans="1:16">
      <c r="A32">
        <f t="shared" ca="1" si="0"/>
        <v>0.67649371978458162</v>
      </c>
    </row>
    <row r="33" spans="1:3">
      <c r="A33">
        <f t="shared" ca="1" si="0"/>
        <v>0.3238613921841712</v>
      </c>
    </row>
    <row r="34" spans="1:3">
      <c r="A34">
        <f t="shared" ca="1" si="0"/>
        <v>0.53846042716280107</v>
      </c>
    </row>
    <row r="35" spans="1:3">
      <c r="A35">
        <f t="shared" ca="1" si="0"/>
        <v>0.92686608645970203</v>
      </c>
    </row>
    <row r="36" spans="1:3">
      <c r="A36">
        <f t="shared" ca="1" si="0"/>
        <v>0.32759932116938184</v>
      </c>
    </row>
    <row r="37" spans="1:3">
      <c r="A37">
        <f t="shared" ca="1" si="0"/>
        <v>0.82507293373678536</v>
      </c>
    </row>
    <row r="38" spans="1:3">
      <c r="A38">
        <f t="shared" ca="1" si="0"/>
        <v>0.60581859434290097</v>
      </c>
    </row>
    <row r="39" spans="1:3">
      <c r="A39">
        <f t="shared" ca="1" si="0"/>
        <v>0.905155699691644</v>
      </c>
    </row>
    <row r="40" spans="1:3">
      <c r="A40">
        <f t="shared" ca="1" si="0"/>
        <v>0.24060356164552832</v>
      </c>
    </row>
    <row r="41" spans="1:3">
      <c r="A41">
        <f t="shared" ca="1" si="0"/>
        <v>0.481450241741194</v>
      </c>
    </row>
    <row r="42" spans="1:3">
      <c r="A42">
        <f t="shared" ca="1" si="0"/>
        <v>0.11571685309786817</v>
      </c>
    </row>
    <row r="43" spans="1:3">
      <c r="A43">
        <f t="shared" ca="1" si="0"/>
        <v>0.89187602544400635</v>
      </c>
      <c r="C43" s="1" t="s">
        <v>14</v>
      </c>
    </row>
    <row r="44" spans="1:3">
      <c r="A44">
        <f t="shared" ca="1" si="0"/>
        <v>0.62954980629645807</v>
      </c>
      <c r="C44" s="4"/>
    </row>
    <row r="45" spans="1:3">
      <c r="A45">
        <f t="shared" ca="1" si="0"/>
        <v>0.17605414325887792</v>
      </c>
      <c r="C45" s="4" t="s">
        <v>15</v>
      </c>
    </row>
    <row r="46" spans="1:3">
      <c r="A46">
        <f t="shared" ca="1" si="0"/>
        <v>0.30382991697959982</v>
      </c>
      <c r="C46" s="4"/>
    </row>
    <row r="47" spans="1:3">
      <c r="A47">
        <f t="shared" ca="1" si="0"/>
        <v>0.35444502895555152</v>
      </c>
      <c r="C47" s="4" t="s">
        <v>16</v>
      </c>
    </row>
    <row r="48" spans="1:3">
      <c r="A48">
        <f t="shared" ca="1" si="0"/>
        <v>0.96883831734688586</v>
      </c>
      <c r="C48" s="4"/>
    </row>
    <row r="49" spans="1:3">
      <c r="A49">
        <f t="shared" ca="1" si="0"/>
        <v>0.91329016282608244</v>
      </c>
      <c r="C49" s="4" t="s">
        <v>17</v>
      </c>
    </row>
    <row r="50" spans="1:3">
      <c r="A50">
        <f t="shared" ca="1" si="0"/>
        <v>0.84115209835442184</v>
      </c>
    </row>
    <row r="51" spans="1:3" ht="17.45">
      <c r="A51">
        <f t="shared" ca="1" si="0"/>
        <v>0.79489246453125406</v>
      </c>
      <c r="C51" s="2" t="s">
        <v>18</v>
      </c>
    </row>
    <row r="52" spans="1:3">
      <c r="A52">
        <f t="shared" ca="1" si="0"/>
        <v>0.62712738383525313</v>
      </c>
    </row>
    <row r="53" spans="1:3">
      <c r="A53">
        <f t="shared" ca="1" si="0"/>
        <v>0.36539338867679727</v>
      </c>
      <c r="C53" t="s">
        <v>19</v>
      </c>
    </row>
    <row r="54" spans="1:3">
      <c r="A54">
        <f t="shared" ca="1" si="0"/>
        <v>0.47085376564827242</v>
      </c>
      <c r="C54" s="4"/>
    </row>
    <row r="55" spans="1:3">
      <c r="A55">
        <f t="shared" ca="1" si="0"/>
        <v>0.63720031419083223</v>
      </c>
      <c r="C55" s="4" t="s">
        <v>20</v>
      </c>
    </row>
    <row r="56" spans="1:3">
      <c r="A56">
        <f t="shared" ca="1" si="0"/>
        <v>0.49246029287471604</v>
      </c>
      <c r="C56" s="4"/>
    </row>
    <row r="57" spans="1:3">
      <c r="A57">
        <f t="shared" ca="1" si="0"/>
        <v>0.36384013874895382</v>
      </c>
      <c r="C57" s="4" t="s">
        <v>21</v>
      </c>
    </row>
    <row r="58" spans="1:3">
      <c r="A58">
        <f t="shared" ca="1" si="0"/>
        <v>0.64151715041528057</v>
      </c>
    </row>
    <row r="59" spans="1:3">
      <c r="A59">
        <f t="shared" ca="1" si="0"/>
        <v>3.6100409058590022E-2</v>
      </c>
    </row>
    <row r="60" spans="1:3">
      <c r="A60">
        <f t="shared" ca="1" si="0"/>
        <v>0.49387133297557706</v>
      </c>
    </row>
    <row r="61" spans="1:3">
      <c r="A61">
        <f t="shared" ca="1" si="0"/>
        <v>0.39592296988741338</v>
      </c>
    </row>
    <row r="62" spans="1:3">
      <c r="A62">
        <f t="shared" ca="1" si="0"/>
        <v>0.6585260541156942</v>
      </c>
    </row>
    <row r="63" spans="1:3">
      <c r="A63">
        <f t="shared" ca="1" si="0"/>
        <v>0.50336114777982732</v>
      </c>
    </row>
    <row r="64" spans="1:3">
      <c r="A64">
        <f t="shared" ca="1" si="0"/>
        <v>0.21466148067938129</v>
      </c>
    </row>
    <row r="65" spans="1:1">
      <c r="A65">
        <f t="shared" ca="1" si="0"/>
        <v>0.84166510852679799</v>
      </c>
    </row>
    <row r="66" spans="1:1">
      <c r="A66">
        <f t="shared" ca="1" si="0"/>
        <v>0.42700714353348934</v>
      </c>
    </row>
    <row r="67" spans="1:1">
      <c r="A67">
        <f t="shared" ca="1" si="0"/>
        <v>0.30954205379472499</v>
      </c>
    </row>
    <row r="68" spans="1:1">
      <c r="A68">
        <f t="shared" ca="1" si="0"/>
        <v>0.42356976655933976</v>
      </c>
    </row>
    <row r="69" spans="1:1">
      <c r="A69">
        <f t="shared" ca="1" si="0"/>
        <v>1.3980786668050471E-2</v>
      </c>
    </row>
    <row r="70" spans="1:1">
      <c r="A70">
        <f t="shared" ca="1" si="0"/>
        <v>0.78771517617209064</v>
      </c>
    </row>
    <row r="71" spans="1:1">
      <c r="A71">
        <f t="shared" ca="1" si="0"/>
        <v>7.1091269103525923E-3</v>
      </c>
    </row>
    <row r="72" spans="1:1">
      <c r="A72">
        <f t="shared" ca="1" si="0"/>
        <v>2.9405299397538998E-2</v>
      </c>
    </row>
    <row r="73" spans="1:1">
      <c r="A73">
        <f t="shared" ca="1" si="0"/>
        <v>0.17689803866933684</v>
      </c>
    </row>
    <row r="74" spans="1:1">
      <c r="A74">
        <f t="shared" ca="1" si="0"/>
        <v>0.31438343241533806</v>
      </c>
    </row>
    <row r="75" spans="1:1">
      <c r="A75">
        <f t="shared" ca="1" si="0"/>
        <v>0.74966500377772927</v>
      </c>
    </row>
    <row r="76" spans="1:1">
      <c r="A76">
        <f t="shared" ca="1" si="0"/>
        <v>0.11285942459561726</v>
      </c>
    </row>
    <row r="77" spans="1:1">
      <c r="A77">
        <f t="shared" ca="1" si="0"/>
        <v>0.92662466514403552</v>
      </c>
    </row>
    <row r="78" spans="1:1">
      <c r="A78">
        <f t="shared" ca="1" si="0"/>
        <v>0.22353203561801249</v>
      </c>
    </row>
    <row r="79" spans="1:1">
      <c r="A79">
        <f t="shared" ca="1" si="0"/>
        <v>0.43646157867030488</v>
      </c>
    </row>
    <row r="80" spans="1:1">
      <c r="A80">
        <f t="shared" ca="1" si="0"/>
        <v>5.6130208030584439E-2</v>
      </c>
    </row>
    <row r="81" spans="1:1">
      <c r="A81">
        <f t="shared" ca="1" si="0"/>
        <v>7.7268687878953246E-2</v>
      </c>
    </row>
    <row r="82" spans="1:1">
      <c r="A82">
        <f t="shared" ca="1" si="0"/>
        <v>0.89216984967980573</v>
      </c>
    </row>
    <row r="83" spans="1:1">
      <c r="A83">
        <f t="shared" ca="1" si="0"/>
        <v>0.30482214302622435</v>
      </c>
    </row>
    <row r="84" spans="1:1">
      <c r="A84">
        <f t="shared" ca="1" si="0"/>
        <v>0.1294029212724056</v>
      </c>
    </row>
    <row r="85" spans="1:1">
      <c r="A85">
        <f t="shared" ca="1" si="0"/>
        <v>0.23678170341092952</v>
      </c>
    </row>
    <row r="86" spans="1:1">
      <c r="A86">
        <f t="shared" ca="1" si="0"/>
        <v>0.18883627685274929</v>
      </c>
    </row>
    <row r="87" spans="1:1">
      <c r="A87">
        <f t="shared" ca="1" si="0"/>
        <v>0.35746578190599787</v>
      </c>
    </row>
    <row r="88" spans="1:1">
      <c r="A88">
        <f t="shared" ca="1" si="0"/>
        <v>0.3263305908812133</v>
      </c>
    </row>
    <row r="89" spans="1:1">
      <c r="A89">
        <f t="shared" ca="1" si="0"/>
        <v>0.25086662164291673</v>
      </c>
    </row>
    <row r="90" spans="1:1">
      <c r="A90">
        <f t="shared" ca="1" si="0"/>
        <v>0.68183553137012187</v>
      </c>
    </row>
    <row r="91" spans="1:1">
      <c r="A91">
        <f t="shared" ca="1" si="0"/>
        <v>0.69803076379948636</v>
      </c>
    </row>
    <row r="92" spans="1:1">
      <c r="A92">
        <f t="shared" ref="A92:A125" ca="1" si="1">RAND()</f>
        <v>9.6028146812217274E-2</v>
      </c>
    </row>
    <row r="93" spans="1:1">
      <c r="A93">
        <f t="shared" ca="1" si="1"/>
        <v>0.85175127738287582</v>
      </c>
    </row>
    <row r="94" spans="1:1">
      <c r="A94">
        <f t="shared" ca="1" si="1"/>
        <v>0.53083534592637682</v>
      </c>
    </row>
    <row r="95" spans="1:1">
      <c r="A95">
        <f t="shared" ca="1" si="1"/>
        <v>0.97227147116104429</v>
      </c>
    </row>
    <row r="96" spans="1:1">
      <c r="A96">
        <f t="shared" ca="1" si="1"/>
        <v>0.98816603094824207</v>
      </c>
    </row>
    <row r="97" spans="1:1">
      <c r="A97">
        <f t="shared" ca="1" si="1"/>
        <v>0.46525561645871316</v>
      </c>
    </row>
    <row r="98" spans="1:1">
      <c r="A98">
        <f t="shared" ca="1" si="1"/>
        <v>0.16921305400013409</v>
      </c>
    </row>
    <row r="99" spans="1:1">
      <c r="A99">
        <f t="shared" ca="1" si="1"/>
        <v>0.54945790929016658</v>
      </c>
    </row>
    <row r="100" spans="1:1">
      <c r="A100">
        <f t="shared" ca="1" si="1"/>
        <v>0.64561408945922871</v>
      </c>
    </row>
    <row r="101" spans="1:1">
      <c r="A101">
        <f t="shared" ca="1" si="1"/>
        <v>0.68639628117545826</v>
      </c>
    </row>
    <row r="102" spans="1:1">
      <c r="A102">
        <f t="shared" ca="1" si="1"/>
        <v>0.62074811509901728</v>
      </c>
    </row>
    <row r="103" spans="1:1">
      <c r="A103">
        <f t="shared" ca="1" si="1"/>
        <v>0.47779566044382349</v>
      </c>
    </row>
    <row r="104" spans="1:1">
      <c r="A104">
        <f t="shared" ca="1" si="1"/>
        <v>0.93305575480129677</v>
      </c>
    </row>
    <row r="105" spans="1:1">
      <c r="A105">
        <f t="shared" ca="1" si="1"/>
        <v>0.82774248799150607</v>
      </c>
    </row>
    <row r="106" spans="1:1">
      <c r="A106">
        <f t="shared" ca="1" si="1"/>
        <v>0.26492362157132121</v>
      </c>
    </row>
    <row r="107" spans="1:1">
      <c r="A107">
        <f t="shared" ca="1" si="1"/>
        <v>0.58817873639801321</v>
      </c>
    </row>
    <row r="108" spans="1:1">
      <c r="A108">
        <f t="shared" ca="1" si="1"/>
        <v>0.72890247260265661</v>
      </c>
    </row>
    <row r="109" spans="1:1">
      <c r="A109">
        <f t="shared" ca="1" si="1"/>
        <v>5.6227360988880482E-2</v>
      </c>
    </row>
    <row r="110" spans="1:1">
      <c r="A110">
        <f t="shared" ca="1" si="1"/>
        <v>0.17445352713004081</v>
      </c>
    </row>
    <row r="111" spans="1:1">
      <c r="A111">
        <f t="shared" ca="1" si="1"/>
        <v>0.2291776671890392</v>
      </c>
    </row>
    <row r="112" spans="1:1">
      <c r="A112">
        <f t="shared" ca="1" si="1"/>
        <v>0.43715715393088539</v>
      </c>
    </row>
    <row r="113" spans="1:1">
      <c r="A113">
        <f t="shared" ca="1" si="1"/>
        <v>0.75455285356911428</v>
      </c>
    </row>
    <row r="114" spans="1:1">
      <c r="A114">
        <f t="shared" ca="1" si="1"/>
        <v>0.87111743585620738</v>
      </c>
    </row>
    <row r="115" spans="1:1">
      <c r="A115">
        <f t="shared" ca="1" si="1"/>
        <v>0.94606785871788412</v>
      </c>
    </row>
    <row r="116" spans="1:1">
      <c r="A116">
        <f t="shared" ca="1" si="1"/>
        <v>0.61628154110308941</v>
      </c>
    </row>
    <row r="117" spans="1:1">
      <c r="A117">
        <f t="shared" ca="1" si="1"/>
        <v>4.1575190862816025E-2</v>
      </c>
    </row>
    <row r="118" spans="1:1">
      <c r="A118">
        <f t="shared" ca="1" si="1"/>
        <v>0.6797773305821101</v>
      </c>
    </row>
    <row r="119" spans="1:1">
      <c r="A119">
        <f t="shared" ca="1" si="1"/>
        <v>0.70328963799268862</v>
      </c>
    </row>
    <row r="120" spans="1:1">
      <c r="A120">
        <f t="shared" ca="1" si="1"/>
        <v>0.24696456833512559</v>
      </c>
    </row>
    <row r="121" spans="1:1">
      <c r="A121">
        <f t="shared" ca="1" si="1"/>
        <v>5.7476592729114095E-2</v>
      </c>
    </row>
    <row r="122" spans="1:1">
      <c r="A122">
        <f t="shared" ca="1" si="1"/>
        <v>0.89320566467391771</v>
      </c>
    </row>
    <row r="123" spans="1:1">
      <c r="A123">
        <f t="shared" ca="1" si="1"/>
        <v>0.12360821443954684</v>
      </c>
    </row>
    <row r="124" spans="1:1">
      <c r="A124">
        <f t="shared" ca="1" si="1"/>
        <v>0.44727174292235738</v>
      </c>
    </row>
    <row r="125" spans="1:1">
      <c r="A125">
        <f t="shared" ca="1" si="1"/>
        <v>0.88512344906899432</v>
      </c>
    </row>
    <row r="129" spans="1:17" ht="15.6">
      <c r="A129" s="20" t="s">
        <v>22</v>
      </c>
      <c r="B129" s="20" t="s">
        <v>23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1"/>
      <c r="Q129" s="21"/>
    </row>
    <row r="131" spans="1:17" ht="17.45">
      <c r="A131" s="1" t="s">
        <v>2</v>
      </c>
      <c r="B131" s="2" t="s">
        <v>24</v>
      </c>
    </row>
    <row r="132" spans="1:17">
      <c r="B132" s="4"/>
    </row>
    <row r="133" spans="1:17">
      <c r="B133" t="s">
        <v>25</v>
      </c>
      <c r="C133">
        <v>50</v>
      </c>
    </row>
    <row r="134" spans="1:17">
      <c r="B134" t="s">
        <v>26</v>
      </c>
      <c r="D134">
        <v>5</v>
      </c>
    </row>
    <row r="135" spans="1:17">
      <c r="B135" t="s">
        <v>27</v>
      </c>
      <c r="C135" t="s">
        <v>28</v>
      </c>
    </row>
    <row r="136" spans="1:17">
      <c r="B136" s="4"/>
    </row>
    <row r="137" spans="1:17">
      <c r="B137" s="4">
        <v>45</v>
      </c>
      <c r="C137" t="s">
        <v>29</v>
      </c>
      <c r="D137" t="s">
        <v>30</v>
      </c>
    </row>
    <row r="138" spans="1:17">
      <c r="B138">
        <v>55</v>
      </c>
      <c r="C138" t="s">
        <v>31</v>
      </c>
      <c r="D138" t="s">
        <v>32</v>
      </c>
    </row>
    <row r="141" spans="1:17">
      <c r="B141" t="s">
        <v>33</v>
      </c>
    </row>
    <row r="143" spans="1:17">
      <c r="B143" t="s">
        <v>34</v>
      </c>
      <c r="C143">
        <f>(45-50)/5</f>
        <v>-1</v>
      </c>
    </row>
    <row r="144" spans="1:17">
      <c r="B144" t="s">
        <v>34</v>
      </c>
      <c r="C144">
        <f>(55-50)/5</f>
        <v>1</v>
      </c>
    </row>
    <row r="145" spans="1:16">
      <c r="B145" t="s">
        <v>35</v>
      </c>
      <c r="C145">
        <f>_xlfn.NORM.DIST(C133,B138,D134,TRUE)</f>
        <v>0.15865525393145699</v>
      </c>
    </row>
    <row r="147" spans="1:16">
      <c r="B147" t="s">
        <v>36</v>
      </c>
      <c r="C147">
        <f>_xlfn.NORM.DIST(B138,C133,D134,TRUE)</f>
        <v>0.84134474606854304</v>
      </c>
    </row>
    <row r="149" spans="1:16">
      <c r="B149" t="s">
        <v>37</v>
      </c>
      <c r="E149">
        <f>C147-C145</f>
        <v>0.68268949213708607</v>
      </c>
    </row>
    <row r="150" spans="1:16">
      <c r="B150" s="10"/>
    </row>
    <row r="151" spans="1:16">
      <c r="B151" s="10" t="s">
        <v>38</v>
      </c>
    </row>
    <row r="154" spans="1:16">
      <c r="A154" s="19" t="s">
        <v>39</v>
      </c>
      <c r="B154" s="19" t="s">
        <v>40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</row>
    <row r="156" spans="1:16" ht="15.6">
      <c r="A156" s="1" t="s">
        <v>2</v>
      </c>
      <c r="B156" s="12" t="s">
        <v>41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8" spans="1:16" ht="18.600000000000001">
      <c r="B158" s="13" t="s">
        <v>42</v>
      </c>
      <c r="C158" s="13"/>
    </row>
    <row r="159" spans="1:16">
      <c r="B159" s="1" t="s">
        <v>43</v>
      </c>
      <c r="C159" s="1"/>
      <c r="D159" s="1" t="s">
        <v>44</v>
      </c>
    </row>
    <row r="160" spans="1:16" ht="15" customHeight="1">
      <c r="B160" s="1" t="s">
        <v>45</v>
      </c>
      <c r="C160" s="1"/>
      <c r="D160" t="s">
        <v>46</v>
      </c>
    </row>
    <row r="161" spans="2:10">
      <c r="B161" s="1" t="s">
        <v>47</v>
      </c>
      <c r="C161" s="1"/>
      <c r="D161" t="s">
        <v>48</v>
      </c>
    </row>
    <row r="162" spans="2:10">
      <c r="B162" s="1" t="s">
        <v>49</v>
      </c>
      <c r="C162" s="1"/>
      <c r="D162" s="1"/>
      <c r="E162" s="1" t="s">
        <v>50</v>
      </c>
    </row>
    <row r="164" spans="2:10" ht="18.600000000000001">
      <c r="C164" s="14" t="s">
        <v>51</v>
      </c>
      <c r="D164" s="14" t="s">
        <v>52</v>
      </c>
      <c r="E164" s="14"/>
      <c r="F164" s="14"/>
      <c r="G164" s="14"/>
      <c r="H164" s="14"/>
      <c r="I164" s="14"/>
      <c r="J164" s="15"/>
    </row>
    <row r="166" spans="2:10" ht="17.45">
      <c r="B166" s="2" t="s">
        <v>53</v>
      </c>
    </row>
    <row r="167" spans="2:10">
      <c r="B167" s="4"/>
    </row>
    <row r="168" spans="2:10">
      <c r="B168" s="16" t="s">
        <v>54</v>
      </c>
    </row>
    <row r="169" spans="2:10">
      <c r="B169" s="4" t="s">
        <v>55</v>
      </c>
    </row>
    <row r="170" spans="2:10">
      <c r="B170" s="4"/>
    </row>
    <row r="171" spans="2:10">
      <c r="B171" s="16" t="s">
        <v>56</v>
      </c>
    </row>
    <row r="172" spans="2:10">
      <c r="B172" s="4" t="s">
        <v>57</v>
      </c>
    </row>
    <row r="173" spans="2:10">
      <c r="B173" s="4"/>
    </row>
    <row r="174" spans="2:10">
      <c r="B174" s="16" t="s">
        <v>58</v>
      </c>
    </row>
    <row r="175" spans="2:10">
      <c r="B175" s="4" t="s">
        <v>59</v>
      </c>
    </row>
    <row r="176" spans="2:10">
      <c r="B176" s="4"/>
    </row>
    <row r="177" spans="1:4">
      <c r="B177" s="16" t="s">
        <v>60</v>
      </c>
    </row>
    <row r="178" spans="1:4">
      <c r="B178" s="4" t="s">
        <v>61</v>
      </c>
    </row>
    <row r="180" spans="1:4" ht="17.45">
      <c r="B180" s="2" t="s">
        <v>62</v>
      </c>
    </row>
    <row r="182" spans="1:4">
      <c r="B182" t="s">
        <v>63</v>
      </c>
    </row>
    <row r="183" spans="1:4">
      <c r="B183" s="4"/>
    </row>
    <row r="184" spans="1:4">
      <c r="B184" s="4" t="s">
        <v>64</v>
      </c>
    </row>
    <row r="185" spans="1:4">
      <c r="B185" s="4"/>
    </row>
    <row r="186" spans="1:4">
      <c r="B186" s="4" t="s">
        <v>65</v>
      </c>
    </row>
    <row r="187" spans="1:4">
      <c r="B187" s="4"/>
    </row>
    <row r="188" spans="1:4">
      <c r="B188" s="4" t="s">
        <v>66</v>
      </c>
    </row>
    <row r="190" spans="1:4">
      <c r="A190" s="19" t="s">
        <v>67</v>
      </c>
      <c r="B190" s="19" t="s">
        <v>68</v>
      </c>
      <c r="C190" s="19"/>
      <c r="D190" s="19"/>
    </row>
    <row r="192" spans="1:4">
      <c r="A192" s="1" t="s">
        <v>2</v>
      </c>
      <c r="B192" s="1" t="s">
        <v>69</v>
      </c>
    </row>
    <row r="194" spans="2:2" ht="17.45">
      <c r="B194" s="2" t="s">
        <v>70</v>
      </c>
    </row>
    <row r="196" spans="2:2" ht="15.6">
      <c r="B196" s="17" t="s">
        <v>71</v>
      </c>
    </row>
    <row r="197" spans="2:2">
      <c r="B197" s="4"/>
    </row>
    <row r="198" spans="2:2">
      <c r="B198" s="4" t="s">
        <v>72</v>
      </c>
    </row>
    <row r="199" spans="2:2">
      <c r="B199" s="4"/>
    </row>
    <row r="200" spans="2:2">
      <c r="B200" s="4" t="s">
        <v>73</v>
      </c>
    </row>
    <row r="201" spans="2:2">
      <c r="B201" s="4"/>
    </row>
    <row r="202" spans="2:2">
      <c r="B202" s="4" t="s">
        <v>74</v>
      </c>
    </row>
    <row r="203" spans="2:2">
      <c r="B203" s="4"/>
    </row>
    <row r="204" spans="2:2">
      <c r="B204" s="4" t="s">
        <v>75</v>
      </c>
    </row>
    <row r="206" spans="2:2" ht="15.6">
      <c r="B206" s="17" t="s">
        <v>76</v>
      </c>
    </row>
    <row r="207" spans="2:2">
      <c r="B207" s="4"/>
    </row>
    <row r="208" spans="2:2">
      <c r="B208" s="16" t="s">
        <v>77</v>
      </c>
    </row>
    <row r="209" spans="2:2">
      <c r="B209" s="4"/>
    </row>
    <row r="210" spans="2:2">
      <c r="B210" s="16" t="s">
        <v>78</v>
      </c>
    </row>
    <row r="211" spans="2:2">
      <c r="B211" s="4"/>
    </row>
    <row r="212" spans="2:2">
      <c r="B212" s="4" t="s">
        <v>79</v>
      </c>
    </row>
    <row r="213" spans="2:2">
      <c r="B213" s="4"/>
    </row>
    <row r="214" spans="2:2">
      <c r="B214" s="4" t="s">
        <v>80</v>
      </c>
    </row>
    <row r="215" spans="2:2">
      <c r="B215" s="4"/>
    </row>
    <row r="216" spans="2:2">
      <c r="B216" s="4" t="s">
        <v>81</v>
      </c>
    </row>
    <row r="218" spans="2:2" ht="15.6">
      <c r="B218" s="17" t="s">
        <v>82</v>
      </c>
    </row>
    <row r="219" spans="2:2">
      <c r="B219" s="4"/>
    </row>
    <row r="220" spans="2:2">
      <c r="B220" s="16" t="s">
        <v>83</v>
      </c>
    </row>
    <row r="221" spans="2:2">
      <c r="B221" s="4"/>
    </row>
    <row r="222" spans="2:2">
      <c r="B222" s="16" t="s">
        <v>84</v>
      </c>
    </row>
    <row r="223" spans="2:2">
      <c r="B223" s="4"/>
    </row>
    <row r="224" spans="2:2">
      <c r="B224" s="4" t="s">
        <v>85</v>
      </c>
    </row>
    <row r="225" spans="1:11">
      <c r="B225" s="4"/>
    </row>
    <row r="226" spans="1:11">
      <c r="B226" s="4" t="s">
        <v>86</v>
      </c>
    </row>
    <row r="227" spans="1:11">
      <c r="B227" s="4"/>
    </row>
    <row r="228" spans="1:11">
      <c r="B228" s="4" t="s">
        <v>87</v>
      </c>
    </row>
    <row r="231" spans="1:11" ht="15.6">
      <c r="A231" s="20" t="s">
        <v>88</v>
      </c>
      <c r="B231" s="20" t="s">
        <v>89</v>
      </c>
      <c r="C231" s="20"/>
      <c r="D231" s="20"/>
      <c r="E231" s="20"/>
      <c r="F231" s="20"/>
      <c r="G231" s="20"/>
      <c r="H231" s="20"/>
      <c r="I231" s="20"/>
      <c r="J231" s="20"/>
      <c r="K231" s="21"/>
    </row>
    <row r="233" spans="1:11">
      <c r="A233" s="1" t="s">
        <v>2</v>
      </c>
      <c r="B233" t="s">
        <v>90</v>
      </c>
    </row>
    <row r="235" spans="1:11" ht="17.45">
      <c r="B235" s="2" t="s">
        <v>91</v>
      </c>
    </row>
    <row r="236" spans="1:11">
      <c r="B236" s="4"/>
    </row>
    <row r="237" spans="1:11">
      <c r="B237" s="4" t="s">
        <v>92</v>
      </c>
    </row>
    <row r="238" spans="1:11">
      <c r="B238" s="4"/>
    </row>
    <row r="239" spans="1:11">
      <c r="B239" s="4" t="s">
        <v>93</v>
      </c>
    </row>
    <row r="240" spans="1:11">
      <c r="B240" s="4"/>
    </row>
    <row r="241" spans="2:2">
      <c r="B241" s="4" t="s">
        <v>94</v>
      </c>
    </row>
    <row r="243" spans="2:2">
      <c r="B243" t="s">
        <v>95</v>
      </c>
    </row>
    <row r="244" spans="2:2">
      <c r="B244" s="4" t="s">
        <v>96</v>
      </c>
    </row>
    <row r="245" spans="2:2">
      <c r="B245" s="4" t="s">
        <v>97</v>
      </c>
    </row>
    <row r="247" spans="2:2" ht="17.45">
      <c r="B247" s="2" t="s">
        <v>98</v>
      </c>
    </row>
    <row r="248" spans="2:2">
      <c r="B248" s="4"/>
    </row>
    <row r="249" spans="2:2">
      <c r="B249" s="16" t="s">
        <v>99</v>
      </c>
    </row>
    <row r="250" spans="2:2">
      <c r="B250" s="4" t="s">
        <v>100</v>
      </c>
    </row>
    <row r="251" spans="2:2">
      <c r="B251" s="4"/>
    </row>
    <row r="252" spans="2:2">
      <c r="B252" s="16" t="s">
        <v>101</v>
      </c>
    </row>
    <row r="253" spans="2:2">
      <c r="B253" s="4" t="s">
        <v>102</v>
      </c>
    </row>
    <row r="254" spans="2:2">
      <c r="B254" s="4"/>
    </row>
    <row r="255" spans="2:2">
      <c r="B255" s="16" t="s">
        <v>103</v>
      </c>
    </row>
    <row r="256" spans="2:2">
      <c r="B256" s="4" t="s">
        <v>104</v>
      </c>
    </row>
    <row r="258" spans="1:13" ht="17.45">
      <c r="B258" s="2" t="s">
        <v>105</v>
      </c>
    </row>
    <row r="260" spans="1:13">
      <c r="B260" t="s">
        <v>106</v>
      </c>
    </row>
    <row r="264" spans="1:13" ht="15.6">
      <c r="A264" s="20" t="s">
        <v>107</v>
      </c>
      <c r="B264" s="20" t="s">
        <v>108</v>
      </c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1"/>
    </row>
    <row r="266" spans="1:13">
      <c r="A266" s="1" t="s">
        <v>2</v>
      </c>
      <c r="B266" t="s">
        <v>109</v>
      </c>
    </row>
    <row r="268" spans="1:13" ht="17.45">
      <c r="B268" s="2" t="s">
        <v>24</v>
      </c>
    </row>
    <row r="269" spans="1:13">
      <c r="B269" s="4"/>
    </row>
    <row r="270" spans="1:13">
      <c r="B270" s="4" t="s">
        <v>110</v>
      </c>
    </row>
    <row r="271" spans="1:13">
      <c r="B271" s="4"/>
    </row>
    <row r="272" spans="1:13">
      <c r="B272" s="4" t="s">
        <v>111</v>
      </c>
    </row>
    <row r="273" spans="1:12">
      <c r="B273" s="4"/>
    </row>
    <row r="274" spans="1:12">
      <c r="B274" s="4" t="s">
        <v>112</v>
      </c>
      <c r="E274" t="s">
        <v>113</v>
      </c>
    </row>
    <row r="276" spans="1:12" ht="23.45">
      <c r="B276" s="18" t="s">
        <v>114</v>
      </c>
    </row>
    <row r="278" spans="1:12">
      <c r="B278" t="s">
        <v>115</v>
      </c>
    </row>
    <row r="280" spans="1:12">
      <c r="B280" t="s">
        <v>36</v>
      </c>
      <c r="C280">
        <f>1 - _xlfn.BINOM.DIST(7, 15, 0.5, TRUE)</f>
        <v>0.5</v>
      </c>
    </row>
    <row r="281" spans="1:12">
      <c r="B281" t="s">
        <v>116</v>
      </c>
    </row>
    <row r="284" spans="1:12" ht="15.6">
      <c r="A284" s="19" t="s">
        <v>117</v>
      </c>
      <c r="B284" s="20" t="s">
        <v>118</v>
      </c>
      <c r="C284" s="20"/>
      <c r="D284" s="20"/>
      <c r="E284" s="20"/>
      <c r="F284" s="20"/>
      <c r="G284" s="20"/>
      <c r="H284" s="20"/>
      <c r="I284" s="20"/>
      <c r="J284" s="20"/>
      <c r="K284" s="20"/>
      <c r="L284" s="21"/>
    </row>
    <row r="286" spans="1:12">
      <c r="A286" s="1" t="s">
        <v>2</v>
      </c>
      <c r="B286" t="s">
        <v>119</v>
      </c>
    </row>
    <row r="288" spans="1:12" ht="23.45">
      <c r="B288" s="18" t="s">
        <v>120</v>
      </c>
    </row>
    <row r="290" spans="2:2">
      <c r="B290" t="s">
        <v>121</v>
      </c>
    </row>
    <row r="291" spans="2:2">
      <c r="B291" s="4"/>
    </row>
    <row r="292" spans="2:2">
      <c r="B292" s="4" t="s">
        <v>122</v>
      </c>
    </row>
    <row r="293" spans="2:2">
      <c r="B293" s="4"/>
    </row>
    <row r="294" spans="2:2">
      <c r="B294" s="4" t="s">
        <v>123</v>
      </c>
    </row>
    <row r="296" spans="2:2" ht="17.45">
      <c r="B296" s="2" t="s">
        <v>124</v>
      </c>
    </row>
    <row r="297" spans="2:2">
      <c r="B297" s="4"/>
    </row>
    <row r="298" spans="2:2">
      <c r="B298" s="4" t="s">
        <v>125</v>
      </c>
    </row>
    <row r="299" spans="2:2">
      <c r="B299" s="4"/>
    </row>
    <row r="300" spans="2:2">
      <c r="B300" s="4" t="s">
        <v>126</v>
      </c>
    </row>
    <row r="301" spans="2:2">
      <c r="B301" s="4"/>
    </row>
    <row r="302" spans="2:2">
      <c r="B302" s="4" t="s">
        <v>127</v>
      </c>
    </row>
    <row r="304" spans="2:2">
      <c r="B304" t="s">
        <v>128</v>
      </c>
    </row>
    <row r="308" spans="2:2" ht="23.45">
      <c r="B308" s="18" t="s">
        <v>129</v>
      </c>
    </row>
    <row r="310" spans="2:2">
      <c r="B310" t="s">
        <v>130</v>
      </c>
    </row>
    <row r="311" spans="2:2">
      <c r="B311" s="4"/>
    </row>
    <row r="312" spans="2:2">
      <c r="B312" s="16" t="s">
        <v>131</v>
      </c>
    </row>
    <row r="313" spans="2:2">
      <c r="B313" s="4"/>
    </row>
    <row r="314" spans="2:2">
      <c r="B314" s="4" t="s">
        <v>132</v>
      </c>
    </row>
    <row r="316" spans="2:2" ht="17.45">
      <c r="B316" s="2" t="s">
        <v>124</v>
      </c>
    </row>
    <row r="317" spans="2:2">
      <c r="B317" s="4"/>
    </row>
    <row r="318" spans="2:2">
      <c r="B318" s="4" t="s">
        <v>133</v>
      </c>
    </row>
    <row r="319" spans="2:2">
      <c r="B319" s="4"/>
    </row>
    <row r="320" spans="2:2">
      <c r="B320" s="4" t="s">
        <v>134</v>
      </c>
    </row>
    <row r="321" spans="2:2">
      <c r="B321" s="4"/>
    </row>
    <row r="322" spans="2:2">
      <c r="B322" s="4" t="s">
        <v>135</v>
      </c>
    </row>
    <row r="323" spans="2:2">
      <c r="B323" s="4"/>
    </row>
    <row r="324" spans="2:2">
      <c r="B324" s="4" t="s">
        <v>136</v>
      </c>
    </row>
    <row r="328" spans="2:2" ht="23.45">
      <c r="B328" s="18" t="s">
        <v>137</v>
      </c>
    </row>
    <row r="330" spans="2:2">
      <c r="B330" t="s">
        <v>138</v>
      </c>
    </row>
    <row r="331" spans="2:2">
      <c r="B331" s="4"/>
    </row>
    <row r="332" spans="2:2">
      <c r="B332" s="4" t="s">
        <v>139</v>
      </c>
    </row>
    <row r="333" spans="2:2">
      <c r="B333" s="4"/>
    </row>
    <row r="334" spans="2:2">
      <c r="B334" s="4" t="s">
        <v>140</v>
      </c>
    </row>
    <row r="335" spans="2:2">
      <c r="B335" s="4"/>
    </row>
    <row r="336" spans="2:2">
      <c r="B336" s="4" t="s">
        <v>141</v>
      </c>
    </row>
    <row r="340" spans="2:2" ht="23.45">
      <c r="B340" s="18" t="s">
        <v>142</v>
      </c>
    </row>
    <row r="341" spans="2:2">
      <c r="B341" s="4"/>
    </row>
    <row r="342" spans="2:2">
      <c r="B342" s="4" t="s">
        <v>143</v>
      </c>
    </row>
    <row r="343" spans="2:2">
      <c r="B343" s="4"/>
    </row>
    <row r="344" spans="2:2">
      <c r="B344" s="4" t="s">
        <v>144</v>
      </c>
    </row>
    <row r="345" spans="2:2">
      <c r="B345" s="4"/>
    </row>
    <row r="346" spans="2:2">
      <c r="B346" s="4" t="s">
        <v>145</v>
      </c>
    </row>
    <row r="347" spans="2:2">
      <c r="B347" s="4"/>
    </row>
    <row r="348" spans="2:2">
      <c r="B348" s="4" t="s">
        <v>146</v>
      </c>
    </row>
    <row r="350" spans="2:2">
      <c r="B350" t="s">
        <v>147</v>
      </c>
    </row>
    <row r="351" spans="2:2">
      <c r="B351" t="s">
        <v>148</v>
      </c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</dc:creator>
  <cp:keywords/>
  <dc:description/>
  <cp:lastModifiedBy>sundaram kumar singh</cp:lastModifiedBy>
  <cp:revision/>
  <dcterms:created xsi:type="dcterms:W3CDTF">2025-12-28T04:46:56Z</dcterms:created>
  <dcterms:modified xsi:type="dcterms:W3CDTF">2026-01-08T16:11:35Z</dcterms:modified>
  <cp:category/>
  <cp:contentStatus/>
</cp:coreProperties>
</file>